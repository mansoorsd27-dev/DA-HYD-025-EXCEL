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18\Downloads\"/>
    </mc:Choice>
  </mc:AlternateContent>
  <xr:revisionPtr revIDLastSave="0" documentId="13_ncr:1_{DCFFA2DB-26A5-4F65-8639-833EE1EF0A1F}" xr6:coauthVersionLast="47" xr6:coauthVersionMax="47" xr10:uidLastSave="{00000000-0000-0000-0000-000000000000}"/>
  <bookViews>
    <workbookView xWindow="-108" yWindow="-108" windowWidth="23256" windowHeight="13176" activeTab="1" xr2:uid="{E03010A2-10A4-4CD2-AD45-567A05CD1053}"/>
  </bookViews>
  <sheets>
    <sheet name="Adv.Xlookup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" i="2" l="1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65" i="2"/>
  <c r="C65" i="2" a="1"/>
  <c r="C65" i="2" s="1"/>
  <c r="B65" i="2" a="1"/>
  <c r="B65" i="2" s="1"/>
  <c r="A65" i="2" a="1"/>
  <c r="A65" i="2" s="1"/>
  <c r="F66" i="2" a="1"/>
  <c r="F66" i="2" s="1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38" i="2"/>
  <c r="T52" i="2"/>
  <c r="T53" i="2"/>
  <c r="T54" i="2"/>
  <c r="T55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38" i="2"/>
  <c r="N40" i="2" a="1"/>
  <c r="N40" i="2" s="1"/>
  <c r="L40" i="2" a="1"/>
  <c r="L40" i="2" s="1"/>
  <c r="H38" i="2" a="1"/>
  <c r="H38" i="2" s="1"/>
  <c r="G37" i="2" a="1"/>
  <c r="G37" i="2" s="1"/>
  <c r="F36" i="2"/>
  <c r="J35" i="2" a="1"/>
  <c r="J35" i="2" s="1"/>
  <c r="F34" i="2"/>
  <c r="F33" i="2"/>
  <c r="F31" i="2"/>
  <c r="F28" i="2"/>
  <c r="F24" i="2"/>
  <c r="P43" i="2" l="1" a="1"/>
  <c r="P4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<sst xmlns="http://schemas.openxmlformats.org/spreadsheetml/2006/main" count="195" uniqueCount="138">
  <si>
    <t>Employee</t>
  </si>
  <si>
    <t>Department</t>
  </si>
  <si>
    <t>Rahul</t>
  </si>
  <si>
    <t>IT</t>
  </si>
  <si>
    <t>Priya</t>
  </si>
  <si>
    <t>HR</t>
  </si>
  <si>
    <t>Finance</t>
  </si>
  <si>
    <t>Sneha</t>
  </si>
  <si>
    <t>Sales</t>
  </si>
  <si>
    <t>Minimum Sales</t>
  </si>
  <si>
    <t>Commission</t>
  </si>
  <si>
    <t>Employee Name</t>
  </si>
  <si>
    <t>Rahul Sharma</t>
  </si>
  <si>
    <t>Rahul Verma</t>
  </si>
  <si>
    <t>Priya Reddy</t>
  </si>
  <si>
    <t>Priya Sharma</t>
  </si>
  <si>
    <t>Find the name beginning with Rahul</t>
  </si>
  <si>
    <t>Emp_ID</t>
  </si>
  <si>
    <t>Employee_Name</t>
  </si>
  <si>
    <t>Email</t>
  </si>
  <si>
    <t>Location</t>
  </si>
  <si>
    <t>Joining_Date</t>
  </si>
  <si>
    <t>DOB</t>
  </si>
  <si>
    <t>Employee_Code</t>
  </si>
  <si>
    <t>Salary</t>
  </si>
  <si>
    <t>E101</t>
  </si>
  <si>
    <t>rahul sharma</t>
  </si>
  <si>
    <t>rahul.sharma@gmail.com</t>
  </si>
  <si>
    <t>Hyderabad</t>
  </si>
  <si>
    <t>HYD-SAL-101</t>
  </si>
  <si>
    <t>E102</t>
  </si>
  <si>
    <t>PRIYA REDDY</t>
  </si>
  <si>
    <t>priya.reddy@gmail.com</t>
  </si>
  <si>
    <t>HYD-FIN-102</t>
  </si>
  <si>
    <t>E103</t>
  </si>
  <si>
    <t>anil kumar</t>
  </si>
  <si>
    <t>anil.kumar@gmail.com</t>
  </si>
  <si>
    <t>Bangalore</t>
  </si>
  <si>
    <t>BLR-IT-103</t>
  </si>
  <si>
    <t>E104</t>
  </si>
  <si>
    <t>Sneha Rao</t>
  </si>
  <si>
    <t>sneha.rao@yahoo.com</t>
  </si>
  <si>
    <t>Chennai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</si>
  <si>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</si>
  <si>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</si>
  <si>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</si>
  <si>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</si>
  <si>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</si>
  <si>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</si>
  <si>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</si>
  <si>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</si>
  <si>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</si>
  <si>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</si>
  <si>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</si>
  <si>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</si>
  <si>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</si>
  <si>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</si>
  <si>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</si>
  <si>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</si>
  <si>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</si>
  <si>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</si>
  <si>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</si>
  <si>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</si>
  <si>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</si>
  <si>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</si>
  <si>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</si>
  <si>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</si>
  <si>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</si>
  <si>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</si>
  <si>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</si>
  <si>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</si>
  <si>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</si>
  <si>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</si>
  <si>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</si>
  <si>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</si>
  <si>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</si>
  <si>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</si>
  <si>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</si>
  <si>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</si>
  <si>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</si>
  <si>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</si>
  <si>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</si>
  <si>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</si>
  <si>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</si>
  <si>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</si>
  <si>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</si>
  <si>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</si>
  <si>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</si>
  <si>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</si>
  <si>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</si>
  <si>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</si>
  <si>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</si>
  <si>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</si>
  <si>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</si>
  <si>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</si>
  <si>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</si>
  <si>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</si>
  <si>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HYD-FIN-117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</si>
  <si>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</si>
  <si>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</si>
  <si>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</si>
  <si>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</si>
  <si>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</si>
  <si>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</si>
  <si>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</si>
  <si>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</si>
  <si>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</si>
  <si>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</si>
  <si>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</si>
  <si>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</si>
  <si>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</si>
  <si>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theme="1"/>
        <rFont val="Arial Unicode MS"/>
      </rPr>
      <t>rahul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</si>
  <si>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</si>
  <si>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</si>
  <si>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</si>
  <si>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</si>
  <si>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</si>
  <si>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</si>
  <si>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theme="1"/>
        <rFont val="Arial Unicode MS"/>
      </rPr>
      <t>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</si>
  <si>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</si>
  <si>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</si>
  <si>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</si>
  <si>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</si>
  <si>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theme="1"/>
        <rFont val="Arial Unicode MS"/>
      </rPr>
      <t>gmail.com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company.com</t>
    </r>
    <r>
      <rPr>
        <sz val="11"/>
        <color theme="1"/>
        <rFont val="Calibri"/>
        <family val="2"/>
        <scheme val="minor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</si>
  <si>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</si>
  <si>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</si>
  <si>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</si>
  <si>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</si>
  <si>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</si>
  <si>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</si>
  <si>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theme="1"/>
        <rFont val="Arial Unicode MS"/>
      </rPr>
      <t>15-Jan-2022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January</t>
    </r>
  </si>
  <si>
    <t>20. Display each employee's Joining Date in the format:</t>
  </si>
  <si>
    <t>21. Calculate the current age of each employee using their Date of Birth.</t>
  </si>
  <si>
    <t>Employee ID</t>
  </si>
  <si>
    <t>Anil</t>
  </si>
  <si>
    <t>$ cd/sdcard</t>
  </si>
  <si>
    <t>$ cd adspy</t>
  </si>
  <si>
    <t>$ python cyber.py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</si>
</sst>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2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4FAF-4C65-477A-B58A-2E8F65EC416C}">
  <dimension ref="A1:I21"/>
  <sheetViews>
    <sheetView topLeftCell="A7" workbookViewId="0">
      <selection activeCell="E7" sqref="E7"/>
    </sheetView>
  </sheetViews>
  <sheetFormatPr defaultRowHeight="14.4"/>
  <cols>
    <col min="1" max="1" width="15.88671875" customWidth="1"/>
    <col min="2" max="2" width="18.5546875" customWidth="1"/>
    <col min="3" max="3" width="15.77734375" customWidth="1"/>
    <col min="4" max="4" width="15.33203125" customWidth="1"/>
    <col min="5" max="5" width="14.44140625" customWidth="1"/>
    <col min="6" max="6" width="16" customWidth="1"/>
    <col min="9" max="9" width="15" customWidth="1"/>
    <col min="10" max="10" width="19.109375" customWidth="1"/>
  </cols>
  <sheetData>
    <row r="1" spans="1:9">
      <c r="A1" s="2" t="s">
        <v>0</v>
      </c>
      <c r="B1" s="2" t="s">
        <v>1</v>
      </c>
      <c r="E1" s="2" t="s">
        <v>9</v>
      </c>
      <c r="F1" s="2" t="s">
        <v>10</v>
      </c>
      <c r="I1" s="2" t="s">
        <v>11</v>
      </c>
    </row>
    <row r="2" spans="1:9">
      <c r="A2" s="1" t="s">
        <v>2</v>
      </c>
      <c r="B2" s="1" t="s">
        <v>3</v>
      </c>
      <c r="E2" s="1">
        <v>0</v>
      </c>
      <c r="F2" s="4">
        <v>0.02</v>
      </c>
      <c r="I2" s="3" t="s">
        <v>12</v>
      </c>
    </row>
    <row r="3" spans="1:9">
      <c r="A3" s="1" t="s">
        <v>4</v>
      </c>
      <c r="B3" s="1" t="s">
        <v>5</v>
      </c>
      <c r="E3" s="1">
        <v>10000</v>
      </c>
      <c r="F3" s="4">
        <v>0.05</v>
      </c>
      <c r="I3" s="3" t="s">
        <v>13</v>
      </c>
    </row>
    <row r="4" spans="1:9">
      <c r="A4" s="1" t="s">
        <v>2</v>
      </c>
      <c r="B4" s="1" t="s">
        <v>6</v>
      </c>
      <c r="E4" s="1">
        <v>25000</v>
      </c>
      <c r="F4" s="4">
        <v>0.08</v>
      </c>
      <c r="I4" s="3" t="s">
        <v>14</v>
      </c>
    </row>
    <row r="5" spans="1:9">
      <c r="A5" s="1" t="s">
        <v>7</v>
      </c>
      <c r="B5" s="1" t="s">
        <v>8</v>
      </c>
      <c r="E5" s="1">
        <v>50000</v>
      </c>
      <c r="F5" s="4">
        <v>0.1</v>
      </c>
      <c r="I5" s="3" t="s">
        <v>15</v>
      </c>
    </row>
    <row r="6" spans="1:9">
      <c r="E6" s="1">
        <v>100000</v>
      </c>
      <c r="F6" s="4">
        <v>0.15</v>
      </c>
    </row>
    <row r="7" spans="1:9" ht="43.2">
      <c r="I7" s="3" t="s">
        <v>16</v>
      </c>
    </row>
    <row r="13" spans="1:9" ht="36">
      <c r="A13" s="13" t="s">
        <v>133</v>
      </c>
      <c r="B13" s="13" t="s">
        <v>11</v>
      </c>
      <c r="C13" s="13" t="s">
        <v>1</v>
      </c>
      <c r="D13" s="13" t="s">
        <v>20</v>
      </c>
      <c r="E13" s="13" t="s">
        <v>24</v>
      </c>
    </row>
    <row r="14" spans="1:9" ht="18">
      <c r="A14" s="14" t="s">
        <v>25</v>
      </c>
      <c r="B14" s="14" t="s">
        <v>4</v>
      </c>
      <c r="C14" s="14" t="s">
        <v>5</v>
      </c>
      <c r="D14" s="14" t="s">
        <v>28</v>
      </c>
      <c r="E14" s="14">
        <v>40000</v>
      </c>
    </row>
    <row r="15" spans="1:9" ht="18">
      <c r="A15" s="14" t="s">
        <v>30</v>
      </c>
      <c r="B15" s="14" t="s">
        <v>2</v>
      </c>
      <c r="C15" s="14" t="s">
        <v>3</v>
      </c>
      <c r="D15" s="14" t="s">
        <v>37</v>
      </c>
      <c r="E15" s="14">
        <v>55000</v>
      </c>
    </row>
    <row r="16" spans="1:9" ht="18">
      <c r="A16" s="14" t="s">
        <v>34</v>
      </c>
      <c r="B16" s="14" t="s">
        <v>134</v>
      </c>
      <c r="C16" s="14" t="s">
        <v>6</v>
      </c>
      <c r="D16" s="14" t="s">
        <v>42</v>
      </c>
      <c r="E16" s="14">
        <v>48000</v>
      </c>
    </row>
    <row r="17" spans="1:7" ht="18">
      <c r="A17" s="14" t="s">
        <v>39</v>
      </c>
      <c r="B17" s="14" t="s">
        <v>7</v>
      </c>
      <c r="C17" s="14" t="s">
        <v>8</v>
      </c>
      <c r="D17" s="14" t="s">
        <v>28</v>
      </c>
      <c r="E17" s="14">
        <v>42000</v>
      </c>
    </row>
    <row r="21" spans="1:7" ht="36">
      <c r="C21" s="13" t="s">
        <v>133</v>
      </c>
      <c r="D21" s="13" t="s">
        <v>11</v>
      </c>
      <c r="E21" s="13" t="s">
        <v>1</v>
      </c>
      <c r="F21" s="13" t="s">
        <v>20</v>
      </c>
      <c r="G21" s="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552C-E74D-411A-A738-C82F54F25F60}">
  <dimension ref="A1:X83"/>
  <sheetViews>
    <sheetView tabSelected="1" topLeftCell="A53" workbookViewId="0">
      <selection activeCell="H68" sqref="H68:H70"/>
    </sheetView>
  </sheetViews>
  <sheetFormatPr defaultRowHeight="14.4"/>
  <cols>
    <col min="1" max="1" width="20.21875" customWidth="1"/>
    <col min="2" max="2" width="20.6640625" customWidth="1"/>
    <col min="3" max="3" width="24.33203125" customWidth="1"/>
    <col min="4" max="4" width="15.44140625" customWidth="1"/>
    <col min="5" max="5" width="14" customWidth="1"/>
    <col min="6" max="6" width="30.6640625" customWidth="1"/>
    <col min="7" max="7" width="16.21875" customWidth="1"/>
    <col min="8" max="8" width="18.5546875" customWidth="1"/>
    <col min="9" max="9" width="12.88671875" customWidth="1"/>
    <col min="10" max="10" width="14.44140625" customWidth="1"/>
    <col min="29" max="29" width="32.6640625" customWidth="1"/>
  </cols>
  <sheetData>
    <row r="1" spans="1:9">
      <c r="A1" s="8" t="s">
        <v>17</v>
      </c>
      <c r="B1" s="8" t="s">
        <v>18</v>
      </c>
      <c r="C1" s="8" t="s">
        <v>19</v>
      </c>
      <c r="D1" s="8" t="s">
        <v>1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</row>
    <row r="2" spans="1:9">
      <c r="A2" s="3" t="s">
        <v>25</v>
      </c>
      <c r="B2" s="3" t="s">
        <v>26</v>
      </c>
      <c r="C2" s="5" t="s">
        <v>27</v>
      </c>
      <c r="D2" s="3" t="s">
        <v>8</v>
      </c>
      <c r="E2" s="3" t="s">
        <v>28</v>
      </c>
      <c r="F2" s="6">
        <v>44576</v>
      </c>
      <c r="G2" s="6">
        <v>34862</v>
      </c>
      <c r="H2" s="3" t="s">
        <v>29</v>
      </c>
      <c r="I2" s="3">
        <v>45000</v>
      </c>
    </row>
    <row r="3" spans="1:9">
      <c r="A3" s="3" t="s">
        <v>30</v>
      </c>
      <c r="B3" s="3" t="s">
        <v>31</v>
      </c>
      <c r="C3" s="5" t="s">
        <v>32</v>
      </c>
      <c r="D3" s="3" t="s">
        <v>6</v>
      </c>
      <c r="E3" s="3" t="s">
        <v>28</v>
      </c>
      <c r="F3" s="6">
        <v>44277</v>
      </c>
      <c r="G3" s="6">
        <v>33821</v>
      </c>
      <c r="H3" s="3" t="s">
        <v>33</v>
      </c>
      <c r="I3" s="3">
        <v>52000</v>
      </c>
    </row>
    <row r="4" spans="1:9">
      <c r="A4" s="3" t="s">
        <v>34</v>
      </c>
      <c r="B4" s="3" t="s">
        <v>35</v>
      </c>
      <c r="C4" s="5" t="s">
        <v>36</v>
      </c>
      <c r="D4" s="3" t="s">
        <v>3</v>
      </c>
      <c r="E4" s="3" t="s">
        <v>37</v>
      </c>
      <c r="F4" s="6">
        <v>45117</v>
      </c>
      <c r="G4" s="6">
        <v>35844</v>
      </c>
      <c r="H4" s="3" t="s">
        <v>38</v>
      </c>
      <c r="I4" s="3">
        <v>48000</v>
      </c>
    </row>
    <row r="5" spans="1:9">
      <c r="A5" s="3" t="s">
        <v>39</v>
      </c>
      <c r="B5" s="3" t="s">
        <v>40</v>
      </c>
      <c r="C5" s="5" t="s">
        <v>41</v>
      </c>
      <c r="D5" s="3" t="s">
        <v>5</v>
      </c>
      <c r="E5" s="3" t="s">
        <v>42</v>
      </c>
      <c r="F5" s="6">
        <v>43866</v>
      </c>
      <c r="G5" s="6">
        <v>33202</v>
      </c>
      <c r="H5" s="3" t="s">
        <v>43</v>
      </c>
      <c r="I5" s="3">
        <v>50000</v>
      </c>
    </row>
    <row r="6" spans="1:9">
      <c r="A6" s="3" t="s">
        <v>44</v>
      </c>
      <c r="B6" s="3" t="s">
        <v>45</v>
      </c>
      <c r="C6" s="5" t="s">
        <v>46</v>
      </c>
      <c r="D6" s="3" t="s">
        <v>3</v>
      </c>
      <c r="E6" s="3" t="s">
        <v>28</v>
      </c>
      <c r="F6" s="6">
        <v>44822</v>
      </c>
      <c r="G6" s="6">
        <v>35154</v>
      </c>
      <c r="H6" s="3" t="s">
        <v>47</v>
      </c>
      <c r="I6" s="3">
        <v>60000</v>
      </c>
    </row>
    <row r="7" spans="1:9">
      <c r="A7" s="3" t="s">
        <v>48</v>
      </c>
      <c r="B7" s="3" t="s">
        <v>49</v>
      </c>
      <c r="C7" s="5" t="s">
        <v>50</v>
      </c>
      <c r="D7" s="3" t="s">
        <v>8</v>
      </c>
      <c r="E7" s="3" t="s">
        <v>51</v>
      </c>
      <c r="F7" s="6">
        <v>45393</v>
      </c>
      <c r="G7" s="6">
        <v>36539</v>
      </c>
      <c r="H7" s="3" t="s">
        <v>52</v>
      </c>
      <c r="I7" s="3">
        <v>38000</v>
      </c>
    </row>
    <row r="8" spans="1:9">
      <c r="A8" s="3" t="s">
        <v>53</v>
      </c>
      <c r="B8" s="3" t="s">
        <v>54</v>
      </c>
      <c r="C8" s="5" t="s">
        <v>55</v>
      </c>
      <c r="D8" s="3" t="s">
        <v>6</v>
      </c>
      <c r="E8" s="3" t="s">
        <v>37</v>
      </c>
      <c r="F8" s="6">
        <v>44527</v>
      </c>
      <c r="G8" s="6">
        <v>34171</v>
      </c>
      <c r="H8" s="3" t="s">
        <v>56</v>
      </c>
      <c r="I8" s="3">
        <v>57000</v>
      </c>
    </row>
    <row r="9" spans="1:9">
      <c r="A9" s="3" t="s">
        <v>57</v>
      </c>
      <c r="B9" s="3" t="s">
        <v>58</v>
      </c>
      <c r="C9" s="5" t="s">
        <v>59</v>
      </c>
      <c r="D9" s="3" t="s">
        <v>60</v>
      </c>
      <c r="E9" s="3" t="s">
        <v>28</v>
      </c>
      <c r="F9" s="6">
        <v>44935</v>
      </c>
      <c r="G9" s="6">
        <v>35706</v>
      </c>
      <c r="H9" s="3" t="s">
        <v>61</v>
      </c>
      <c r="I9" s="3">
        <v>42000</v>
      </c>
    </row>
    <row r="10" spans="1:9">
      <c r="A10" s="3" t="s">
        <v>62</v>
      </c>
      <c r="B10" s="3" t="s">
        <v>63</v>
      </c>
      <c r="C10" s="5" t="s">
        <v>64</v>
      </c>
      <c r="D10" s="3" t="s">
        <v>5</v>
      </c>
      <c r="E10" s="3" t="s">
        <v>51</v>
      </c>
      <c r="F10" s="6">
        <v>43996</v>
      </c>
      <c r="G10" s="6">
        <v>33374</v>
      </c>
      <c r="H10" s="3" t="s">
        <v>65</v>
      </c>
      <c r="I10" s="3">
        <v>55000</v>
      </c>
    </row>
    <row r="11" spans="1:9">
      <c r="A11" s="3" t="s">
        <v>66</v>
      </c>
      <c r="B11" s="3" t="s">
        <v>67</v>
      </c>
      <c r="C11" s="5" t="s">
        <v>68</v>
      </c>
      <c r="D11" s="3" t="s">
        <v>3</v>
      </c>
      <c r="E11" s="3" t="s">
        <v>42</v>
      </c>
      <c r="F11" s="6">
        <v>45168</v>
      </c>
      <c r="G11" s="6">
        <v>36503</v>
      </c>
      <c r="H11" s="3" t="s">
        <v>69</v>
      </c>
      <c r="I11" s="3">
        <v>47000</v>
      </c>
    </row>
    <row r="12" spans="1:9">
      <c r="A12" s="3" t="s">
        <v>70</v>
      </c>
      <c r="B12" s="3" t="s">
        <v>71</v>
      </c>
      <c r="C12" s="5" t="s">
        <v>72</v>
      </c>
      <c r="D12" s="3" t="s">
        <v>8</v>
      </c>
      <c r="E12" s="3" t="s">
        <v>28</v>
      </c>
      <c r="F12" s="6">
        <v>44604</v>
      </c>
      <c r="G12" s="6">
        <v>34451</v>
      </c>
      <c r="H12" s="3" t="s">
        <v>73</v>
      </c>
      <c r="I12" s="3">
        <v>46000</v>
      </c>
    </row>
    <row r="13" spans="1:9">
      <c r="A13" s="3" t="s">
        <v>74</v>
      </c>
      <c r="B13" s="3" t="s">
        <v>75</v>
      </c>
      <c r="C13" s="5" t="s">
        <v>76</v>
      </c>
      <c r="D13" s="3" t="s">
        <v>6</v>
      </c>
      <c r="E13" s="3" t="s">
        <v>51</v>
      </c>
      <c r="F13" s="6">
        <v>44341</v>
      </c>
      <c r="G13" s="6">
        <v>32762</v>
      </c>
      <c r="H13" s="3" t="s">
        <v>77</v>
      </c>
      <c r="I13" s="3">
        <v>65000</v>
      </c>
    </row>
    <row r="14" spans="1:9">
      <c r="A14" s="3" t="s">
        <v>78</v>
      </c>
      <c r="B14" s="3" t="s">
        <v>79</v>
      </c>
      <c r="C14" s="5" t="s">
        <v>80</v>
      </c>
      <c r="D14" s="3" t="s">
        <v>60</v>
      </c>
      <c r="E14" s="3" t="s">
        <v>37</v>
      </c>
      <c r="F14" s="6">
        <v>45572</v>
      </c>
      <c r="G14" s="6">
        <v>36910</v>
      </c>
      <c r="H14" s="3" t="s">
        <v>81</v>
      </c>
      <c r="I14" s="3">
        <v>40000</v>
      </c>
    </row>
    <row r="15" spans="1:9">
      <c r="A15" s="3" t="s">
        <v>82</v>
      </c>
      <c r="B15" s="3" t="s">
        <v>83</v>
      </c>
      <c r="C15" s="5" t="s">
        <v>84</v>
      </c>
      <c r="D15" s="3" t="s">
        <v>3</v>
      </c>
      <c r="E15" s="3" t="s">
        <v>28</v>
      </c>
      <c r="F15" s="6">
        <v>44911</v>
      </c>
      <c r="G15" s="6">
        <v>34888</v>
      </c>
      <c r="H15" s="3" t="s">
        <v>85</v>
      </c>
      <c r="I15" s="3">
        <v>58000</v>
      </c>
    </row>
    <row r="16" spans="1:9">
      <c r="A16" s="3" t="s">
        <v>86</v>
      </c>
      <c r="B16" s="3" t="s">
        <v>87</v>
      </c>
      <c r="C16" s="5" t="s">
        <v>88</v>
      </c>
      <c r="D16" s="3" t="s">
        <v>5</v>
      </c>
      <c r="E16" s="3" t="s">
        <v>42</v>
      </c>
      <c r="F16" s="6">
        <v>44988</v>
      </c>
      <c r="G16" s="6">
        <v>35756</v>
      </c>
      <c r="H16" s="3" t="s">
        <v>89</v>
      </c>
      <c r="I16" s="3">
        <v>43000</v>
      </c>
    </row>
    <row r="17" spans="1:9">
      <c r="A17" s="3" t="s">
        <v>90</v>
      </c>
      <c r="B17" s="3" t="s">
        <v>91</v>
      </c>
      <c r="C17" s="5" t="s">
        <v>92</v>
      </c>
      <c r="D17" s="3" t="s">
        <v>8</v>
      </c>
      <c r="E17" s="3" t="s">
        <v>51</v>
      </c>
      <c r="F17" s="6">
        <v>44001</v>
      </c>
      <c r="G17" s="6">
        <v>32919</v>
      </c>
      <c r="H17" s="3" t="s">
        <v>93</v>
      </c>
      <c r="I17" s="3">
        <v>51000</v>
      </c>
    </row>
    <row r="18" spans="1:9">
      <c r="A18" s="3" t="s">
        <v>94</v>
      </c>
      <c r="B18" s="3" t="s">
        <v>95</v>
      </c>
      <c r="C18" s="5" t="s">
        <v>96</v>
      </c>
      <c r="D18" s="3" t="s">
        <v>6</v>
      </c>
      <c r="E18" s="3" t="s">
        <v>28</v>
      </c>
      <c r="F18" s="6">
        <v>45319</v>
      </c>
      <c r="G18" s="6">
        <v>36072</v>
      </c>
      <c r="H18" s="3" t="s">
        <v>97</v>
      </c>
      <c r="I18" s="3">
        <v>49000</v>
      </c>
    </row>
    <row r="19" spans="1:9">
      <c r="A19" s="3" t="s">
        <v>98</v>
      </c>
      <c r="B19" s="3" t="s">
        <v>99</v>
      </c>
      <c r="C19" s="5" t="s">
        <v>100</v>
      </c>
      <c r="D19" s="3" t="s">
        <v>60</v>
      </c>
      <c r="E19" s="3" t="s">
        <v>42</v>
      </c>
      <c r="F19" s="6">
        <v>44421</v>
      </c>
      <c r="G19" s="6">
        <v>34118</v>
      </c>
      <c r="H19" s="3" t="s">
        <v>101</v>
      </c>
      <c r="I19" s="3">
        <v>53000</v>
      </c>
    </row>
    <row r="20" spans="1:9">
      <c r="A20" s="3"/>
      <c r="B20" s="3"/>
      <c r="C20" s="5"/>
      <c r="D20" s="3"/>
      <c r="E20" s="3"/>
      <c r="F20" s="7"/>
      <c r="G20" s="3"/>
      <c r="H20" s="3"/>
      <c r="I20" s="3"/>
    </row>
    <row r="24" spans="1:9">
      <c r="B24" s="9" t="s">
        <v>102</v>
      </c>
      <c r="F24" t="str">
        <f>LEFT(H2,3)</f>
        <v>HYD</v>
      </c>
    </row>
    <row r="25" spans="1:9">
      <c r="B25" s="9" t="s">
        <v>103</v>
      </c>
    </row>
    <row r="26" spans="1:9">
      <c r="B26" s="9"/>
    </row>
    <row r="27" spans="1:9">
      <c r="B27" s="9" t="s">
        <v>104</v>
      </c>
    </row>
    <row r="28" spans="1:9">
      <c r="B28" s="9" t="s">
        <v>105</v>
      </c>
      <c r="F28" t="str">
        <f>RIGHT(H2,3)</f>
        <v>101</v>
      </c>
    </row>
    <row r="29" spans="1:9">
      <c r="B29" s="9"/>
    </row>
    <row r="30" spans="1:9">
      <c r="B30" s="9" t="s">
        <v>106</v>
      </c>
    </row>
    <row r="31" spans="1:9">
      <c r="B31" s="9" t="s">
        <v>107</v>
      </c>
      <c r="F31" t="str">
        <f>MID(H2,5,3)</f>
        <v>SAL</v>
      </c>
    </row>
    <row r="32" spans="1:9">
      <c r="B32" s="9"/>
    </row>
    <row r="33" spans="2:24">
      <c r="B33" s="9" t="s">
        <v>108</v>
      </c>
      <c r="F33">
        <f>LEN(B2)</f>
        <v>12</v>
      </c>
    </row>
    <row r="34" spans="2:24">
      <c r="B34" s="9" t="s">
        <v>109</v>
      </c>
      <c r="F34" t="str">
        <f>TRIM(B2)</f>
        <v>rahul sharma</v>
      </c>
    </row>
    <row r="35" spans="2:24">
      <c r="B35" s="9" t="s">
        <v>110</v>
      </c>
      <c r="J35" t="str" cm="1">
        <f t="array" ref="J35:J52">PROPER(B2:B19)</f>
        <v>Rahul Sharma</v>
      </c>
    </row>
    <row r="36" spans="2:24">
      <c r="B36" s="9" t="s">
        <v>111</v>
      </c>
      <c r="F36" t="str">
        <f>PROPER(B2)</f>
        <v>Rahul Sharma</v>
      </c>
      <c r="J36" t="str">
        <v>Priya Reddy</v>
      </c>
    </row>
    <row r="37" spans="2:24">
      <c r="B37" s="9" t="s">
        <v>112</v>
      </c>
      <c r="G37" t="str" cm="1">
        <f t="array" ref="G37:G54">TRIM(PROPER(B2:B19))</f>
        <v>Rahul Sharma</v>
      </c>
      <c r="J37" t="str">
        <v>Anil Kumar</v>
      </c>
    </row>
    <row r="38" spans="2:24">
      <c r="B38" s="9" t="s">
        <v>113</v>
      </c>
      <c r="G38" t="str">
        <v>Priya Reddy</v>
      </c>
      <c r="H38" cm="1">
        <f t="array" ref="H38:H55">FIND("@",C2:C19,1)</f>
        <v>13</v>
      </c>
      <c r="J38" t="str">
        <v>Sneha Rao</v>
      </c>
      <c r="T38" t="str">
        <f>_xlfn.CONCAT(A2,"-",B2)</f>
        <v>E101-rahul sharma</v>
      </c>
      <c r="X38" t="str">
        <f>PROPER(_xlfn.CONCAT(B2,"|",D2,"|",E2))</f>
        <v>Rahul Sharma|Sales|Hyderabad</v>
      </c>
    </row>
    <row r="39" spans="2:24">
      <c r="B39" s="9" t="s">
        <v>114</v>
      </c>
      <c r="G39" t="str">
        <v>Anil Kumar</v>
      </c>
      <c r="H39">
        <v>12</v>
      </c>
      <c r="J39" t="str">
        <v>Arjun Verma</v>
      </c>
      <c r="T39" t="str">
        <f t="shared" ref="T39:T55" si="0">_xlfn.CONCAT(A3,"-",B3)</f>
        <v>E102-PRIYA REDDY</v>
      </c>
      <c r="X39" t="str">
        <f t="shared" ref="X39:X54" si="1">PROPER(_xlfn.CONCAT(B3,"|",D3,"|",E3))</f>
        <v>Priya Reddy|Finance|Hyderabad</v>
      </c>
    </row>
    <row r="40" spans="2:24">
      <c r="B40" s="9" t="s">
        <v>115</v>
      </c>
      <c r="G40" t="str">
        <v>Sneha Rao</v>
      </c>
      <c r="H40">
        <v>11</v>
      </c>
      <c r="J40" t="str">
        <v>Meena Devi</v>
      </c>
      <c r="L40" t="str" cm="1">
        <f t="array" ref="L40:L57">_xlfn.TEXTBEFORE(C2:C19,"@")</f>
        <v>rahul.sharma</v>
      </c>
      <c r="N40" t="str" cm="1">
        <f t="array" ref="N40:N57">_xlfn.TEXTAFTER(C2:C19,"@")</f>
        <v>gmail.com</v>
      </c>
      <c r="T40" t="str">
        <f t="shared" si="0"/>
        <v>E103-anil kumar</v>
      </c>
      <c r="X40" t="str">
        <f t="shared" si="1"/>
        <v>Anil Kumar|It|Bangalore</v>
      </c>
    </row>
    <row r="41" spans="2:24">
      <c r="B41" s="9" t="s">
        <v>116</v>
      </c>
      <c r="G41" t="str">
        <v>Arjun Verma</v>
      </c>
      <c r="H41">
        <v>10</v>
      </c>
      <c r="J41" t="str">
        <v>Kiran Reddy</v>
      </c>
      <c r="L41" t="str">
        <v>priya.reddy</v>
      </c>
      <c r="N41" t="str">
        <v>gmail.com</v>
      </c>
      <c r="T41" t="str">
        <f t="shared" si="0"/>
        <v>E104-Sneha Rao</v>
      </c>
      <c r="X41" t="str">
        <f t="shared" si="1"/>
        <v>Sneha Rao|Hr|Chennai</v>
      </c>
    </row>
    <row r="42" spans="2:24">
      <c r="B42" s="9" t="s">
        <v>117</v>
      </c>
      <c r="G42" t="str">
        <v>Meena Devi</v>
      </c>
      <c r="H42">
        <v>12</v>
      </c>
      <c r="J42" t="str">
        <v>Rohit Kumar</v>
      </c>
      <c r="L42" t="str">
        <v>anil.kumar</v>
      </c>
      <c r="N42" t="str">
        <v>gmail.com</v>
      </c>
      <c r="T42" t="str">
        <f t="shared" si="0"/>
        <v>E105-arjun verma</v>
      </c>
      <c r="X42" t="str">
        <f t="shared" si="1"/>
        <v>Arjun Verma|It|Hyderabad</v>
      </c>
    </row>
    <row r="43" spans="2:24">
      <c r="B43" s="9" t="s">
        <v>118</v>
      </c>
      <c r="G43" t="str">
        <v>Kiran Reddy</v>
      </c>
      <c r="H43">
        <v>11</v>
      </c>
      <c r="J43" t="str">
        <v>Anjali Sharma</v>
      </c>
      <c r="L43" t="str">
        <v>sneha.rao</v>
      </c>
      <c r="N43" t="str">
        <v>yahoo.com</v>
      </c>
      <c r="P43" t="str" cm="1">
        <f t="array" ref="P43:P60">IF(_xlfn.ANCHORARRAY(N40)="gmail.com","Gmail","Other")</f>
        <v>Gmail</v>
      </c>
      <c r="T43" t="str">
        <f t="shared" si="0"/>
        <v>E106-MEENA DEVI</v>
      </c>
      <c r="X43" t="str">
        <f t="shared" si="1"/>
        <v>Meena Devi|Sales|Mumbai</v>
      </c>
    </row>
    <row r="44" spans="2:24">
      <c r="B44" s="9" t="s">
        <v>119</v>
      </c>
      <c r="G44" t="str">
        <v>Rohit Kumar</v>
      </c>
      <c r="H44">
        <v>12</v>
      </c>
      <c r="J44" t="str">
        <v>Vikram Singh</v>
      </c>
      <c r="L44" t="str">
        <v>arjun.verma</v>
      </c>
      <c r="N44" t="str">
        <v>gmail.com</v>
      </c>
      <c r="P44" t="str">
        <v>Gmail</v>
      </c>
      <c r="T44" t="str">
        <f t="shared" si="0"/>
        <v>E107-Kiran Reddy</v>
      </c>
      <c r="X44" t="str">
        <f t="shared" si="1"/>
        <v>Kiran Reddy|Finance|Bangalore</v>
      </c>
    </row>
    <row r="45" spans="2:24">
      <c r="B45" s="10" t="s">
        <v>120</v>
      </c>
      <c r="G45" t="str">
        <v>Anjali Sharma</v>
      </c>
      <c r="H45">
        <v>12</v>
      </c>
      <c r="J45" t="str">
        <v>Neha Patel</v>
      </c>
      <c r="L45" t="str">
        <v>meena.devi</v>
      </c>
      <c r="N45" t="str">
        <v>gmail.com</v>
      </c>
      <c r="P45" t="str">
        <v>Gmail</v>
      </c>
      <c r="T45" t="str">
        <f t="shared" si="0"/>
        <v>E108-rohit kumar</v>
      </c>
      <c r="X45" t="str">
        <f t="shared" si="1"/>
        <v>Rohit Kumar|Marketing|Hyderabad</v>
      </c>
    </row>
    <row r="46" spans="2:24">
      <c r="B46" s="9" t="s">
        <v>121</v>
      </c>
      <c r="G46" t="str">
        <v>Vikram Singh</v>
      </c>
      <c r="H46">
        <v>14</v>
      </c>
      <c r="J46" t="str">
        <v>Amit Gupta</v>
      </c>
      <c r="L46" t="str">
        <v>kiran.reddy</v>
      </c>
      <c r="N46" t="str">
        <v>yahoo.com</v>
      </c>
      <c r="P46" t="str">
        <v>Other</v>
      </c>
      <c r="T46" t="str">
        <f t="shared" si="0"/>
        <v>E109-ANJALI SHARMA</v>
      </c>
      <c r="X46" t="str">
        <f t="shared" si="1"/>
        <v>Anjali Sharma|Hr|Mumbai</v>
      </c>
    </row>
    <row r="47" spans="2:24">
      <c r="B47" s="10" t="s">
        <v>122</v>
      </c>
      <c r="G47" t="str">
        <v>Neha Patel</v>
      </c>
      <c r="H47">
        <v>13</v>
      </c>
      <c r="J47" t="str">
        <v>Pooja Nair</v>
      </c>
      <c r="L47" t="str">
        <v>rohit.kumar</v>
      </c>
      <c r="N47" t="str">
        <v>gmail.com</v>
      </c>
      <c r="P47" t="str">
        <v>Gmail</v>
      </c>
      <c r="T47" t="str">
        <f t="shared" si="0"/>
        <v>E110-Vikram Singh</v>
      </c>
      <c r="X47" t="str">
        <f t="shared" si="1"/>
        <v>Vikram Singh|It|Chennai</v>
      </c>
    </row>
    <row r="48" spans="2:24">
      <c r="B48" s="9" t="s">
        <v>123</v>
      </c>
      <c r="G48" t="str">
        <v>Amit Gupta</v>
      </c>
      <c r="H48">
        <v>11</v>
      </c>
      <c r="J48" t="str">
        <v>Suresh Babu</v>
      </c>
      <c r="L48" t="str">
        <v>anjali.sharma</v>
      </c>
      <c r="N48" t="str">
        <v>gmail.com</v>
      </c>
      <c r="P48" t="str">
        <v>Gmail</v>
      </c>
      <c r="T48" t="str">
        <f t="shared" si="0"/>
        <v>E111-Neha Patel</v>
      </c>
      <c r="X48" t="str">
        <f t="shared" si="1"/>
        <v>Neha Patel|Sales|Hyderabad</v>
      </c>
    </row>
    <row r="49" spans="2:24">
      <c r="G49" t="str">
        <v>Pooja Nair</v>
      </c>
      <c r="H49">
        <v>11</v>
      </c>
      <c r="J49" t="str">
        <v>Divya Reddy</v>
      </c>
      <c r="L49" t="str">
        <v>vikram.singh</v>
      </c>
      <c r="N49" t="str">
        <v>yahoo.com</v>
      </c>
      <c r="P49" t="str">
        <v>Other</v>
      </c>
      <c r="T49" t="str">
        <f t="shared" si="0"/>
        <v>E112-AMIT GUPTA</v>
      </c>
      <c r="X49" t="str">
        <f t="shared" si="1"/>
        <v>Amit Gupta|Finance|Mumbai</v>
      </c>
    </row>
    <row r="50" spans="2:24">
      <c r="G50" t="str">
        <v>Suresh Babu</v>
      </c>
      <c r="H50">
        <v>11</v>
      </c>
      <c r="J50" t="str">
        <v>Naveen Kumar</v>
      </c>
      <c r="L50" t="str">
        <v>neha.patel</v>
      </c>
      <c r="N50" t="str">
        <v>gmail.com</v>
      </c>
      <c r="P50" t="str">
        <v>Gmail</v>
      </c>
      <c r="T50" t="str">
        <f t="shared" si="0"/>
        <v>E113-pooja nair</v>
      </c>
      <c r="X50" t="str">
        <f t="shared" si="1"/>
        <v>Pooja Nair|Marketing|Bangalore</v>
      </c>
    </row>
    <row r="51" spans="2:24">
      <c r="G51" t="str">
        <v>Divya Reddy</v>
      </c>
      <c r="H51">
        <v>12</v>
      </c>
      <c r="J51" t="str">
        <v>Swathi Rao</v>
      </c>
      <c r="L51" t="str">
        <v>amit.gupta</v>
      </c>
      <c r="N51" t="str">
        <v>gmail.com</v>
      </c>
      <c r="P51" t="str">
        <v>Gmail</v>
      </c>
      <c r="T51" t="str">
        <f t="shared" si="0"/>
        <v>E114-Suresh Babu</v>
      </c>
      <c r="X51" t="str">
        <f t="shared" si="1"/>
        <v>Suresh Babu|It|Hyderabad</v>
      </c>
    </row>
    <row r="52" spans="2:24" ht="31.2">
      <c r="B52" s="11" t="s">
        <v>124</v>
      </c>
      <c r="G52" t="str">
        <v>Naveen Kumar</v>
      </c>
      <c r="H52">
        <v>12</v>
      </c>
      <c r="J52" t="str">
        <v>Rahul Verma</v>
      </c>
      <c r="L52" t="str">
        <v>pooja.nair</v>
      </c>
      <c r="N52" t="str">
        <v>yahoo.com</v>
      </c>
      <c r="P52" t="str">
        <v>Other</v>
      </c>
      <c r="T52" t="str">
        <f>_xlfn.CONCAT(A16,"-",B16)</f>
        <v>E115-DIVYA REDDY</v>
      </c>
      <c r="X52" t="str">
        <f t="shared" si="1"/>
        <v>Divya Reddy|Hr|Chennai</v>
      </c>
    </row>
    <row r="53" spans="2:24">
      <c r="B53" s="9"/>
      <c r="G53" t="str">
        <v>Swathi Rao</v>
      </c>
      <c r="H53">
        <v>13</v>
      </c>
      <c r="L53" t="str">
        <v>suresh.babu</v>
      </c>
      <c r="N53" t="str">
        <v>gmail.com</v>
      </c>
      <c r="P53" t="str">
        <v>Gmail</v>
      </c>
      <c r="T53" t="str">
        <f t="shared" si="0"/>
        <v>E116-Naveen Kumar</v>
      </c>
      <c r="X53" t="str">
        <f t="shared" si="1"/>
        <v>Naveen Kumar|Sales|Mumbai</v>
      </c>
    </row>
    <row r="54" spans="2:24">
      <c r="B54" s="9" t="s">
        <v>125</v>
      </c>
      <c r="G54" t="str">
        <v>Rahul Verma</v>
      </c>
      <c r="H54">
        <v>11</v>
      </c>
      <c r="L54" t="str">
        <v>divya.reddy</v>
      </c>
      <c r="N54" t="str">
        <v>gmail.com</v>
      </c>
      <c r="P54" t="str">
        <v>Gmail</v>
      </c>
      <c r="T54" t="str">
        <f t="shared" si="0"/>
        <v>E117-Swathi Rao</v>
      </c>
      <c r="X54" t="str">
        <f t="shared" si="1"/>
        <v>Swathi Rao|Finance|Hyderabad</v>
      </c>
    </row>
    <row r="55" spans="2:24">
      <c r="B55" s="9" t="s">
        <v>126</v>
      </c>
      <c r="H55">
        <v>12</v>
      </c>
      <c r="L55" t="str">
        <v>naveen.kumar</v>
      </c>
      <c r="N55" t="str">
        <v>yahoo.com</v>
      </c>
      <c r="P55" t="str">
        <v>Other</v>
      </c>
      <c r="T55" t="str">
        <f t="shared" si="0"/>
        <v>E118-RAHUL VERMA</v>
      </c>
    </row>
    <row r="56" spans="2:24">
      <c r="B56" s="9" t="s">
        <v>127</v>
      </c>
      <c r="L56" t="str">
        <v>swathi.rao</v>
      </c>
      <c r="N56" t="str">
        <v>gmail.com</v>
      </c>
      <c r="P56" t="str">
        <v>Gmail</v>
      </c>
    </row>
    <row r="57" spans="2:24">
      <c r="B57" s="9" t="s">
        <v>128</v>
      </c>
      <c r="L57" t="str">
        <v>rahul.verma</v>
      </c>
      <c r="N57" t="str">
        <v>gmail.com</v>
      </c>
      <c r="P57" t="str">
        <v>Gmail</v>
      </c>
    </row>
    <row r="58" spans="2:24">
      <c r="B58" s="9" t="s">
        <v>129</v>
      </c>
      <c r="P58" t="str">
        <v>Other</v>
      </c>
    </row>
    <row r="59" spans="2:24">
      <c r="B59" s="9" t="s">
        <v>130</v>
      </c>
      <c r="P59" t="str">
        <v>Gmail</v>
      </c>
    </row>
    <row r="60" spans="2:24">
      <c r="B60" s="9" t="s">
        <v>131</v>
      </c>
      <c r="P60" t="str">
        <v>Gmail</v>
      </c>
    </row>
    <row r="61" spans="2:24">
      <c r="B61" s="12">
        <v>44562</v>
      </c>
    </row>
    <row r="62" spans="2:24">
      <c r="B62" s="9" t="s">
        <v>132</v>
      </c>
    </row>
    <row r="65" spans="1:8">
      <c r="A65" cm="1">
        <f t="array" ref="A65:A82">DAY(F2:F19)</f>
        <v>15</v>
      </c>
      <c r="B65" cm="1">
        <f t="array" ref="B65:B82">MONTH(F2:F19)</f>
        <v>1</v>
      </c>
      <c r="C65" cm="1">
        <f t="array" ref="C65:C82">YEAR(F2:F19)</f>
        <v>2022</v>
      </c>
      <c r="D65">
        <f ca="1">DATEDIF(G2,TODAY(),"Y")</f>
        <v>31</v>
      </c>
    </row>
    <row r="66" spans="1:8">
      <c r="A66">
        <v>22</v>
      </c>
      <c r="B66">
        <v>3</v>
      </c>
      <c r="C66">
        <v>2021</v>
      </c>
      <c r="D66">
        <f t="shared" ref="D66:D82" ca="1" si="2">DATEDIF(G3,TODAY(),"Y")</f>
        <v>34</v>
      </c>
      <c r="F66" t="str" cm="1">
        <f t="array" ref="F66:F83">SUBSTITUTE(C2:C19,"gmail.com","company.com")</f>
        <v>rahul.sharma@company.com</v>
      </c>
    </row>
    <row r="67" spans="1:8">
      <c r="A67">
        <v>10</v>
      </c>
      <c r="B67">
        <v>7</v>
      </c>
      <c r="C67">
        <v>2023</v>
      </c>
      <c r="D67">
        <f t="shared" ca="1" si="2"/>
        <v>28</v>
      </c>
      <c r="F67" t="str">
        <v>priya.reddy@company.com</v>
      </c>
    </row>
    <row r="68" spans="1:8">
      <c r="A68">
        <v>5</v>
      </c>
      <c r="B68">
        <v>2</v>
      </c>
      <c r="C68">
        <v>2020</v>
      </c>
      <c r="D68">
        <f t="shared" ca="1" si="2"/>
        <v>35</v>
      </c>
      <c r="F68" t="str">
        <v>anil.kumar@company.com</v>
      </c>
      <c r="H68" t="s">
        <v>135</v>
      </c>
    </row>
    <row r="69" spans="1:8">
      <c r="A69">
        <v>18</v>
      </c>
      <c r="B69">
        <v>9</v>
      </c>
      <c r="C69">
        <v>2022</v>
      </c>
      <c r="D69">
        <f t="shared" ca="1" si="2"/>
        <v>30</v>
      </c>
      <c r="F69" t="str">
        <v>sneha.rao@yahoo.com</v>
      </c>
      <c r="H69" t="s">
        <v>136</v>
      </c>
    </row>
    <row r="70" spans="1:8">
      <c r="A70">
        <v>11</v>
      </c>
      <c r="B70">
        <v>4</v>
      </c>
      <c r="C70">
        <v>2024</v>
      </c>
      <c r="D70">
        <f t="shared" ca="1" si="2"/>
        <v>26</v>
      </c>
      <c r="F70" t="str">
        <v>arjun.verma@company.com</v>
      </c>
      <c r="H70" t="s">
        <v>137</v>
      </c>
    </row>
    <row r="71" spans="1:8">
      <c r="A71">
        <v>27</v>
      </c>
      <c r="B71">
        <v>11</v>
      </c>
      <c r="C71">
        <v>2021</v>
      </c>
      <c r="D71">
        <f t="shared" ca="1" si="2"/>
        <v>33</v>
      </c>
      <c r="F71" t="str">
        <v>meena.devi@company.com</v>
      </c>
    </row>
    <row r="72" spans="1:8">
      <c r="A72">
        <v>9</v>
      </c>
      <c r="B72">
        <v>1</v>
      </c>
      <c r="C72">
        <v>2023</v>
      </c>
      <c r="D72">
        <f t="shared" ca="1" si="2"/>
        <v>28</v>
      </c>
      <c r="F72" t="str">
        <v>kiran.reddy@yahoo.com</v>
      </c>
    </row>
    <row r="73" spans="1:8">
      <c r="A73">
        <v>14</v>
      </c>
      <c r="B73">
        <v>6</v>
      </c>
      <c r="C73">
        <v>2020</v>
      </c>
      <c r="D73">
        <f t="shared" ca="1" si="2"/>
        <v>35</v>
      </c>
      <c r="F73" t="str">
        <v>rohit.kumar@company.com</v>
      </c>
    </row>
    <row r="74" spans="1:8">
      <c r="A74">
        <v>30</v>
      </c>
      <c r="B74">
        <v>8</v>
      </c>
      <c r="C74">
        <v>2023</v>
      </c>
      <c r="D74">
        <f t="shared" ca="1" si="2"/>
        <v>26</v>
      </c>
      <c r="F74" t="str">
        <v>anjali.sharma@company.com</v>
      </c>
    </row>
    <row r="75" spans="1:8">
      <c r="A75">
        <v>12</v>
      </c>
      <c r="B75">
        <v>2</v>
      </c>
      <c r="C75">
        <v>2022</v>
      </c>
      <c r="D75">
        <f t="shared" ca="1" si="2"/>
        <v>32</v>
      </c>
      <c r="F75" t="str">
        <v>vikram.singh@yahoo.com</v>
      </c>
    </row>
    <row r="76" spans="1:8">
      <c r="A76">
        <v>25</v>
      </c>
      <c r="B76">
        <v>5</v>
      </c>
      <c r="C76">
        <v>2021</v>
      </c>
      <c r="D76">
        <f t="shared" ca="1" si="2"/>
        <v>37</v>
      </c>
      <c r="F76" t="str">
        <v>neha.patel@company.com</v>
      </c>
    </row>
    <row r="77" spans="1:8">
      <c r="A77">
        <v>7</v>
      </c>
      <c r="B77">
        <v>10</v>
      </c>
      <c r="C77">
        <v>2024</v>
      </c>
      <c r="D77">
        <f t="shared" ca="1" si="2"/>
        <v>25</v>
      </c>
      <c r="F77" t="str">
        <v>amit.gupta@company.com</v>
      </c>
    </row>
    <row r="78" spans="1:8">
      <c r="A78">
        <v>16</v>
      </c>
      <c r="B78">
        <v>12</v>
      </c>
      <c r="C78">
        <v>2022</v>
      </c>
      <c r="D78">
        <f t="shared" ca="1" si="2"/>
        <v>31</v>
      </c>
      <c r="F78" t="str">
        <v>pooja.nair@yahoo.com</v>
      </c>
    </row>
    <row r="79" spans="1:8">
      <c r="A79">
        <v>3</v>
      </c>
      <c r="B79">
        <v>3</v>
      </c>
      <c r="C79">
        <v>2023</v>
      </c>
      <c r="D79">
        <f t="shared" ca="1" si="2"/>
        <v>28</v>
      </c>
      <c r="F79" t="str">
        <v>suresh.babu@company.com</v>
      </c>
    </row>
    <row r="80" spans="1:8">
      <c r="A80">
        <v>19</v>
      </c>
      <c r="B80">
        <v>6</v>
      </c>
      <c r="C80">
        <v>2020</v>
      </c>
      <c r="D80">
        <f t="shared" ca="1" si="2"/>
        <v>36</v>
      </c>
      <c r="F80" t="str">
        <v>divya.reddy@company.com</v>
      </c>
    </row>
    <row r="81" spans="1:6">
      <c r="A81">
        <v>28</v>
      </c>
      <c r="B81">
        <v>1</v>
      </c>
      <c r="C81">
        <v>2024</v>
      </c>
      <c r="D81">
        <f t="shared" ca="1" si="2"/>
        <v>27</v>
      </c>
      <c r="F81" t="str">
        <v>naveen.kumar@yahoo.com</v>
      </c>
    </row>
    <row r="82" spans="1:6">
      <c r="A82">
        <v>13</v>
      </c>
      <c r="B82">
        <v>8</v>
      </c>
      <c r="C82">
        <v>2021</v>
      </c>
      <c r="D82">
        <f t="shared" ca="1" si="2"/>
        <v>33</v>
      </c>
      <c r="F82" t="str">
        <v>swathi.rao@company.com</v>
      </c>
    </row>
    <row r="83" spans="1:6">
      <c r="F83" t="str">
        <v>rahul.verma@company.com</v>
      </c>
    </row>
  </sheetData>
  <hyperlinks>
    <hyperlink ref="C2" r:id="rId1" xr:uid="{1C3D5F69-312A-46FC-8DF4-852A62E9827F}"/>
    <hyperlink ref="C3" r:id="rId2" display="mailto:priya.reddy@gmail.com" xr:uid="{0FC4D80E-3CBB-4791-AE9B-F5080EDD2900}"/>
    <hyperlink ref="C4" r:id="rId3" display="mailto:anil.kumar@gmail.com" xr:uid="{BCFD3F2C-2646-4DF1-A711-BEE80CA40080}"/>
    <hyperlink ref="C5" r:id="rId4" display="mailto:sneha.rao@yahoo.com" xr:uid="{F70B1367-08F0-427C-8FCE-D91B96C8E8FC}"/>
    <hyperlink ref="C6" r:id="rId5" display="mailto:arjun.verma@gmail.com" xr:uid="{0B47202F-CA56-43C8-B032-DBD4422ED1CA}"/>
    <hyperlink ref="C7" r:id="rId6" display="mailto:meena.devi@gmail.com" xr:uid="{B1EEC86C-62F0-4C49-BEE4-01769DDF2205}"/>
    <hyperlink ref="C8" r:id="rId7" display="mailto:kiran.reddy@yahoo.com" xr:uid="{17B71614-A8F8-4C00-98EF-CE10B1EDD4E4}"/>
    <hyperlink ref="C9" r:id="rId8" display="mailto:rohit.kumar@gmail.com" xr:uid="{D51BB6DD-7CE8-47E7-A8E2-DD7EA2D4B4DD}"/>
    <hyperlink ref="C10" r:id="rId9" display="mailto:anjali.sharma@gmail.com" xr:uid="{29CA8FC0-A33D-4012-8CEB-CD9697E92BF4}"/>
    <hyperlink ref="C11" r:id="rId10" display="mailto:vikram.singh@yahoo.com" xr:uid="{4A12249C-FB4A-4522-84FF-5ADD4E5B24B7}"/>
    <hyperlink ref="C12" r:id="rId11" display="mailto:neha.patel@gmail.com" xr:uid="{9B4CF4B8-7AA3-4115-A664-C4E09740529A}"/>
    <hyperlink ref="C13" r:id="rId12" display="mailto:amit.gupta@gmail.com" xr:uid="{5622450A-1E95-440E-AB3D-22758964EA59}"/>
    <hyperlink ref="C14" r:id="rId13" display="mailto:pooja.nair@yahoo.com" xr:uid="{B6A0B4F9-098B-4671-83AC-75648B0D8950}"/>
    <hyperlink ref="C15" r:id="rId14" display="mailto:suresh.babu@gmail.com" xr:uid="{0137BE0B-0A8C-4D73-8CF1-C4D47CCFA7AF}"/>
    <hyperlink ref="C16" r:id="rId15" display="mailto:divya.reddy@gmail.com" xr:uid="{3501E415-3CB9-4B81-ACA0-F5A886041CD2}"/>
    <hyperlink ref="C17" r:id="rId16" display="mailto:naveen.kumar@yahoo.com" xr:uid="{C0FAAD72-BF57-4821-AE7F-7605012586E2}"/>
    <hyperlink ref="C18" r:id="rId17" display="mailto:swathi.rao@gmail.com" xr:uid="{4D7F550B-89EB-49F6-B13C-A1CAC9C8A0C4}"/>
    <hyperlink ref="C19" r:id="rId18" display="mailto:rahul.verma@gmail.com" xr:uid="{0BC2C5F5-1416-40A1-9CC2-9F2AF47F53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Adv.Xlookup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Sd Mansoor</cp:lastModifiedBy>
  <dcterms:created xsi:type="dcterms:W3CDTF">2026-09-10T17:11:08Z</dcterms:created>
  <dcterms:modified xsi:type="dcterms:W3CDTF">2026-09-29T17:16:24Z</dcterms:modified>
</cp:coreProperties>
</file>